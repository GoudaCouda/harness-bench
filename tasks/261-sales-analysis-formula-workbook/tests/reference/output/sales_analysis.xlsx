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0"/>
  <bookViews>
    <workbookView xWindow="0" yWindow="0" windowWidth="24000" windowHeight="12000"/>
  </bookViews>
  <sheets>
    <sheet name="清洗明细" sheetId="1" r:id="rId1"/>
    <sheet name="区域汇总" sheetId="2" r:id="rId2"/>
    <sheet name="品类汇总" sheetId="3" r:id="rId3"/>
    <sheet name="异常清单" sheetId="4" r:id="rId4"/>
    <sheet name="仪表盘" sheetId="5" r:id="rId5"/>
  </sheet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¥#,##0.00"/>
    <numFmt numFmtId="166" formatCode="0.00%"/>
  </numFmts>
  <fonts count="3">
    <font>
      <sz val="11"/>
      <name val="Noto Sans CJK SC"/>
    </font>
    <font>
      <b/>
      <color rgb="FFFFFFFF"/>
      <sz val="11"/>
      <name val="Noto Sans CJK SC"/>
    </font>
    <font>
      <b/>
      <sz val="16"/>
      <name val="Noto Sans CJK SC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rPr lang="zh-CN"/>
              <a:t>区域净销售额</a:t>
            </a:r>
          </a:p>
        </c:rich>
      </c:tx>
      <c:layout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'区域汇总'!$D$1</c:f>
            </c:strRef>
          </c:tx>
          <c:cat>
            <c:strRef>
              <c:f>'区域汇总'!$A$2:$A$5</c:f>
            </c:strRef>
          </c:cat>
          <c:val>
            <c:numRef>
              <c:f>'区域汇总'!$D$2:$D$5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ckLblPos val="nextTo"/>
        <c:crossAx val="48672768"/>
        <c:crosses val="autoZero"/>
        <c:auto val="1"/>
        <c:lblAlgn val="ctr"/>
        <c:lblOffset val="100"/>
      </c:catAx>
      <c:valAx>
        <c:axId val="48672768"/>
        <c:scaling>
          <c:orientation val="minMax"/>
        </c:scaling>
        <c:delete val="0"/>
        <c:axPos val="l"/>
        <c:numFmt formatCode="¥#,##0.00" sourceLinked="0"/>
        <c:tickLblPos val="nextTo"/>
        <c:crossAx val="48650112"/>
        <c:crosses val="autoZero"/>
        <c:crossBetween val="between"/>
      </c:valAx>
    </c:plotArea>
    <c:legend>
      <c:legendPos val="r"/>
      <c:layout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9</xdr:col>
      <xdr:colOff>0</xdr:colOff>
      <xdr:row>22</xdr:row>
      <xdr:rowOff>0</xdr:rowOff>
    </xdr:to>
    <xdr:graphicFrame macro="">
      <xdr:nvGraphicFramePr>
        <xdr:cNvPr id="2" name="区域净销售额图表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13" customWidth="1"/>
    <col min="3" max="3" width="10" customWidth="1"/>
    <col min="4" max="4" width="10" customWidth="1"/>
    <col min="5" max="5" width="12" customWidth="1"/>
    <col min="6" max="6" width="16" customWidth="1"/>
    <col min="7" max="7" width="12" customWidth="1"/>
    <col min="8" max="8" width="10" customWidth="1"/>
    <col min="9" max="9" width="12" customWidth="1"/>
    <col min="10" max="10" width="12" customWidth="1"/>
    <col min="11" max="11" width="12" customWidth="1"/>
    <col min="12" max="12" width="10" customWidth="1"/>
    <col min="13" max="13" width="18" customWidth="1"/>
    <col min="14" max="14" width="14" customWidth="1"/>
  </cols>
  <sheetData>
    <row r="1">
      <c r="A1" t="inlineStr" s="2">
        <is>
          <t>订单号</t>
        </is>
      </c>
      <c r="B1" t="inlineStr" s="2">
        <is>
          <t>销售日期</t>
        </is>
      </c>
      <c r="C1" t="inlineStr" s="2">
        <is>
          <t>区域</t>
        </is>
      </c>
      <c r="D1" t="inlineStr" s="2">
        <is>
          <t>渠道</t>
        </is>
      </c>
      <c r="E1" t="inlineStr" s="2">
        <is>
          <t>销售人员</t>
        </is>
      </c>
      <c r="F1" t="inlineStr" s="2">
        <is>
          <t>产品</t>
        </is>
      </c>
      <c r="G1" t="inlineStr" s="2">
        <is>
          <t>品类</t>
        </is>
      </c>
      <c r="H1" t="inlineStr" s="2">
        <is>
          <t>数量</t>
        </is>
      </c>
      <c r="I1" t="inlineStr" s="2">
        <is>
          <t>单价</t>
        </is>
      </c>
      <c r="J1" t="inlineStr" s="2">
        <is>
          <t>折扣率</t>
        </is>
      </c>
      <c r="K1" t="inlineStr" s="2">
        <is>
          <t>状态</t>
        </is>
      </c>
      <c r="L1" t="inlineStr" s="2">
        <is>
          <t>有效性</t>
        </is>
      </c>
      <c r="M1" t="inlineStr" s="2">
        <is>
          <t>异常原因</t>
        </is>
      </c>
      <c r="N1" t="inlineStr" s="2">
        <is>
          <t>净销售额</t>
        </is>
      </c>
    </row>
    <row r="2">
      <c r="A2" t="inlineStr">
        <is>
          <t>S001</t>
        </is>
      </c>
      <c r="B2" s="1">
        <v>46114</v>
      </c>
      <c r="C2" t="inlineStr">
        <is>
          <t>华北</t>
        </is>
      </c>
      <c r="D2" t="inlineStr">
        <is>
          <t>直营网</t>
        </is>
      </c>
      <c r="E2" t="inlineStr">
        <is>
          <t>林晨</t>
        </is>
      </c>
      <c r="F2" t="inlineStr">
        <is>
          <t>升降支架</t>
        </is>
      </c>
      <c r="G2" t="inlineStr">
        <is>
          <t>办公配件</t>
        </is>
      </c>
      <c r="H2" s="6">
        <v>3</v>
      </c>
      <c r="I2" s="3">
        <v>180.0</v>
      </c>
      <c r="J2" s="4">
        <v>0.1</v>
      </c>
      <c r="K2" t="inlineStr">
        <is>
          <t>已完成</t>
        </is>
      </c>
      <c r="L2" t="inlineStr">
        <is>
          <t>有效</t>
        </is>
      </c>
      <c r="M2" t="inlineStr">
        <is>
          <t/>
        </is>
      </c>
      <c r="N2" s="3">
        <f>IF(L2="有效",ROUND(H2*I2*(1-J2),2),0)</f>
        <v>486.0</v>
      </c>
    </row>
    <row r="3">
      <c r="A3" t="inlineStr">
        <is>
          <t>S002</t>
        </is>
      </c>
      <c r="B3" s="1">
        <v>46115</v>
      </c>
      <c r="C3" t="inlineStr">
        <is>
          <t>华东</t>
        </is>
      </c>
      <c r="D3" t="inlineStr">
        <is>
          <t>电商</t>
        </is>
      </c>
      <c r="E3" t="inlineStr">
        <is>
          <t>陈悦</t>
        </is>
      </c>
      <c r="F3" t="inlineStr">
        <is>
          <t>无线鼠标</t>
        </is>
      </c>
      <c r="G3" t="inlineStr">
        <is>
          <t>数码配件</t>
        </is>
      </c>
      <c r="H3" s="6">
        <v>10</v>
      </c>
      <c r="I3" s="3">
        <v>120.0</v>
      </c>
      <c r="J3" s="4">
        <v>0.05</v>
      </c>
      <c r="K3" t="inlineStr">
        <is>
          <t>已完成</t>
        </is>
      </c>
      <c r="L3" t="inlineStr">
        <is>
          <t>有效</t>
        </is>
      </c>
      <c r="M3" t="inlineStr">
        <is>
          <t/>
        </is>
      </c>
      <c r="N3" s="3">
        <f>IF(L3="有效",ROUND(H3*I3*(1-J3),2),0)</f>
        <v>1140.0</v>
      </c>
    </row>
    <row r="4">
      <c r="A4" t="inlineStr">
        <is>
          <t>S003</t>
        </is>
      </c>
      <c r="B4" s="1">
        <v>46117</v>
      </c>
      <c r="C4" t="inlineStr">
        <is>
          <t>华南</t>
        </is>
      </c>
      <c r="D4" t="inlineStr">
        <is>
          <t>渠道</t>
        </is>
      </c>
      <c r="E4" t="inlineStr">
        <is>
          <t>周宁</t>
        </is>
      </c>
      <c r="F4" t="inlineStr">
        <is>
          <t>商务显示器</t>
        </is>
      </c>
      <c r="G4" t="inlineStr">
        <is>
          <t>数码设备</t>
        </is>
      </c>
      <c r="H4" s="6">
        <v>2</v>
      </c>
      <c r="I4" s="3">
        <v>1600.0</v>
      </c>
      <c r="J4" s="4">
        <v>0.08</v>
      </c>
      <c r="K4" t="inlineStr">
        <is>
          <t>已完成</t>
        </is>
      </c>
      <c r="L4" t="inlineStr">
        <is>
          <t>有效</t>
        </is>
      </c>
      <c r="M4" t="inlineStr">
        <is>
          <t/>
        </is>
      </c>
      <c r="N4" s="3">
        <f>IF(L4="有效",ROUND(H4*I4*(1-J4),2),0)</f>
        <v>2944.0</v>
      </c>
    </row>
    <row r="5">
      <c r="A5" t="inlineStr">
        <is>
          <t>S004</t>
        </is>
      </c>
      <c r="B5" s="1">
        <v>46120</v>
      </c>
      <c r="C5" t="inlineStr">
        <is>
          <t>西部</t>
        </is>
      </c>
      <c r="D5" t="inlineStr">
        <is>
          <t>电商</t>
        </is>
      </c>
      <c r="E5" t="inlineStr">
        <is>
          <t>方岚</t>
        </is>
      </c>
      <c r="F5" t="inlineStr">
        <is>
          <t>机械键盘</t>
        </is>
      </c>
      <c r="G5" t="inlineStr">
        <is>
          <t>数码配件</t>
        </is>
      </c>
      <c r="H5" s="6">
        <v>5</v>
      </c>
      <c r="I5" s="3">
        <v>420.0</v>
      </c>
      <c r="J5" s="4">
        <v>0.15</v>
      </c>
      <c r="K5" t="inlineStr">
        <is>
          <t>已完成</t>
        </is>
      </c>
      <c r="L5" t="inlineStr">
        <is>
          <t>有效</t>
        </is>
      </c>
      <c r="M5" t="inlineStr">
        <is>
          <t/>
        </is>
      </c>
      <c r="N5" s="3">
        <f>IF(L5="有效",ROUND(H5*I5*(1-J5),2),0)</f>
        <v>1785.0</v>
      </c>
    </row>
    <row r="6">
      <c r="A6" t="inlineStr">
        <is>
          <t>S005</t>
        </is>
      </c>
      <c r="B6" s="1">
        <v>46124</v>
      </c>
      <c r="C6" t="inlineStr">
        <is>
          <t>华北</t>
        </is>
      </c>
      <c r="D6" t="inlineStr">
        <is>
          <t>渠道</t>
        </is>
      </c>
      <c r="E6" t="inlineStr">
        <is>
          <t>林晨</t>
        </is>
      </c>
      <c r="F6" t="inlineStr">
        <is>
          <t>会议摄像头</t>
        </is>
      </c>
      <c r="G6" t="inlineStr">
        <is>
          <t>数码设备</t>
        </is>
      </c>
      <c r="H6" s="6">
        <v>4</v>
      </c>
      <c r="I6" s="3">
        <v>680.0</v>
      </c>
      <c r="J6" s="4">
        <v>0.1</v>
      </c>
      <c r="K6" t="inlineStr">
        <is>
          <t>已完成</t>
        </is>
      </c>
      <c r="L6" t="inlineStr">
        <is>
          <t>有效</t>
        </is>
      </c>
      <c r="M6" t="inlineStr">
        <is>
          <t/>
        </is>
      </c>
      <c r="N6" s="3">
        <f>IF(L6="有效",ROUND(H6*I6*(1-J6),2),0)</f>
        <v>2448.0</v>
      </c>
    </row>
    <row r="7">
      <c r="A7" t="inlineStr">
        <is>
          <t>S006</t>
        </is>
      </c>
      <c r="B7" s="1">
        <v>46130</v>
      </c>
      <c r="C7" t="inlineStr">
        <is>
          <t>华东</t>
        </is>
      </c>
      <c r="D7" t="inlineStr">
        <is>
          <t>直营网</t>
        </is>
      </c>
      <c r="E7" t="inlineStr">
        <is>
          <t>陈悦</t>
        </is>
      </c>
      <c r="F7" t="inlineStr">
        <is>
          <t>桌面收纳架</t>
        </is>
      </c>
      <c r="G7" t="inlineStr">
        <is>
          <t>办公配件</t>
        </is>
      </c>
      <c r="H7" s="6">
        <v>8</v>
      </c>
      <c r="I7" s="3">
        <v>95.0</v>
      </c>
      <c r="J7" s="4">
        <v>0.0</v>
      </c>
      <c r="K7" t="inlineStr">
        <is>
          <t>已完成</t>
        </is>
      </c>
      <c r="L7" t="inlineStr">
        <is>
          <t>有效</t>
        </is>
      </c>
      <c r="M7" t="inlineStr">
        <is>
          <t/>
        </is>
      </c>
      <c r="N7" s="3">
        <f>IF(L7="有效",ROUND(H7*I7*(1-J7),2),0)</f>
        <v>760.0</v>
      </c>
    </row>
    <row r="8">
      <c r="A8" t="inlineStr">
        <is>
          <t>S007</t>
        </is>
      </c>
      <c r="B8" s="1">
        <v>46134</v>
      </c>
      <c r="C8" t="inlineStr">
        <is>
          <t>华南</t>
        </is>
      </c>
      <c r="D8" t="inlineStr">
        <is>
          <t>电商</t>
        </is>
      </c>
      <c r="E8" t="inlineStr">
        <is>
          <t>周宁</t>
        </is>
      </c>
      <c r="F8" t="inlineStr">
        <is>
          <t>降噪耳机</t>
        </is>
      </c>
      <c r="G8" t="inlineStr">
        <is>
          <t>数码设备</t>
        </is>
      </c>
      <c r="H8" s="6">
        <v>6</v>
      </c>
      <c r="I8" s="3">
        <v>850.0</v>
      </c>
      <c r="J8" s="4">
        <v>0.12</v>
      </c>
      <c r="K8" t="inlineStr">
        <is>
          <t>已完成</t>
        </is>
      </c>
      <c r="L8" t="inlineStr">
        <is>
          <t>有效</t>
        </is>
      </c>
      <c r="M8" t="inlineStr">
        <is>
          <t/>
        </is>
      </c>
      <c r="N8" s="3">
        <f>IF(L8="有效",ROUND(H8*I8*(1-J8),2),0)</f>
        <v>4488.0</v>
      </c>
    </row>
    <row r="9">
      <c r="A9" t="inlineStr">
        <is>
          <t>S008</t>
        </is>
      </c>
      <c r="B9" t="inlineStr">
        <is>
          <t>2026-06-31</t>
        </is>
      </c>
      <c r="C9" t="inlineStr">
        <is>
          <t>西部</t>
        </is>
      </c>
      <c r="D9" t="inlineStr">
        <is>
          <t>渠道</t>
        </is>
      </c>
      <c r="E9" t="inlineStr">
        <is>
          <t>方岚</t>
        </is>
      </c>
      <c r="F9" t="inlineStr">
        <is>
          <t>人体工学椅</t>
        </is>
      </c>
      <c r="G9" t="inlineStr">
        <is>
          <t>办公配件</t>
        </is>
      </c>
      <c r="H9" s="6">
        <v>2</v>
      </c>
      <c r="I9" s="3">
        <v>2100.0</v>
      </c>
      <c r="J9" s="4">
        <v>0.1</v>
      </c>
      <c r="K9" t="inlineStr">
        <is>
          <t>已完成</t>
        </is>
      </c>
      <c r="L9" t="inlineStr">
        <is>
          <t>异常</t>
        </is>
      </c>
      <c r="M9" t="inlineStr">
        <is>
          <t>无效日期</t>
        </is>
      </c>
      <c r="N9" s="3">
        <f>IF(L9="有效",ROUND(H9*I9*(1-J9),2),0)</f>
        <v>0.0</v>
      </c>
    </row>
    <row r="10">
      <c r="A10" t="inlineStr">
        <is>
          <t>S009</t>
        </is>
      </c>
      <c r="B10" s="1">
        <v>46145</v>
      </c>
      <c r="C10" t="inlineStr">
        <is>
          <t>西部</t>
        </is>
      </c>
      <c r="D10" t="inlineStr">
        <is>
          <t>渠道</t>
        </is>
      </c>
      <c r="E10" t="inlineStr">
        <is>
          <t>方岚</t>
        </is>
      </c>
      <c r="F10" t="inlineStr">
        <is>
          <t>人体工学椅</t>
        </is>
      </c>
      <c r="G10" t="inlineStr">
        <is>
          <t>办公配件</t>
        </is>
      </c>
      <c r="H10" s="6">
        <v>2</v>
      </c>
      <c r="I10" s="3">
        <v>2100.0</v>
      </c>
      <c r="J10" s="4">
        <v>0.1</v>
      </c>
      <c r="K10" t="inlineStr">
        <is>
          <t>已完成</t>
        </is>
      </c>
      <c r="L10" t="inlineStr">
        <is>
          <t>有效</t>
        </is>
      </c>
      <c r="M10" t="inlineStr">
        <is>
          <t/>
        </is>
      </c>
      <c r="N10" s="3">
        <f>IF(L10="有效",ROUND(H10*I10*(1-J10),2),0)</f>
        <v>3780.0</v>
      </c>
    </row>
    <row r="11">
      <c r="A11" t="inlineStr">
        <is>
          <t>S006</t>
        </is>
      </c>
      <c r="B11" s="1">
        <v>46148</v>
      </c>
      <c r="C11" t="inlineStr">
        <is>
          <t>华东</t>
        </is>
      </c>
      <c r="D11" t="inlineStr">
        <is>
          <t>电商</t>
        </is>
      </c>
      <c r="E11" t="inlineStr">
        <is>
          <t>陈悦</t>
        </is>
      </c>
      <c r="F11" t="inlineStr">
        <is>
          <t>无线鼠标</t>
        </is>
      </c>
      <c r="G11" t="inlineStr">
        <is>
          <t>数码配件</t>
        </is>
      </c>
      <c r="H11" s="6">
        <v>3</v>
      </c>
      <c r="I11" s="3">
        <v>120.0</v>
      </c>
      <c r="J11" s="4">
        <v>0.05</v>
      </c>
      <c r="K11" t="inlineStr">
        <is>
          <t>已完成</t>
        </is>
      </c>
      <c r="L11" t="inlineStr">
        <is>
          <t>异常</t>
        </is>
      </c>
      <c r="M11" t="inlineStr">
        <is>
          <t>重复订单号</t>
        </is>
      </c>
      <c r="N11" s="3">
        <f>IF(L11="有效",ROUND(H11*I11*(1-J11),2),0)</f>
        <v>0.0</v>
      </c>
    </row>
    <row r="12">
      <c r="A12" t="inlineStr">
        <is>
          <t>S011</t>
        </is>
      </c>
      <c r="B12" s="1">
        <v>46151</v>
      </c>
      <c r="C12" t="inlineStr">
        <is>
          <t>华北</t>
        </is>
      </c>
      <c r="D12" t="inlineStr">
        <is>
          <t>直营网</t>
        </is>
      </c>
      <c r="E12" t="inlineStr">
        <is>
          <t/>
        </is>
      </c>
      <c r="F12" t="inlineStr">
        <is>
          <t>扩展坞</t>
        </is>
      </c>
      <c r="G12" t="inlineStr">
        <is>
          <t>数码配件</t>
        </is>
      </c>
      <c r="H12" s="6">
        <v>4</v>
      </c>
      <c r="I12" s="3">
        <v>360.0</v>
      </c>
      <c r="J12" s="4">
        <v>0.05</v>
      </c>
      <c r="K12" t="inlineStr">
        <is>
          <t>已完成</t>
        </is>
      </c>
      <c r="L12" t="inlineStr">
        <is>
          <t>异常</t>
        </is>
      </c>
      <c r="M12" t="inlineStr">
        <is>
          <t>销售人员缺失</t>
        </is>
      </c>
      <c r="N12" s="3">
        <f>IF(L12="有效",ROUND(H12*I12*(1-J12),2),0)</f>
        <v>0.0</v>
      </c>
    </row>
    <row r="13">
      <c r="A13" t="inlineStr">
        <is>
          <t>S012</t>
        </is>
      </c>
      <c r="B13" s="1">
        <v>46155</v>
      </c>
      <c r="C13" t="inlineStr">
        <is>
          <t>华东</t>
        </is>
      </c>
      <c r="D13" t="inlineStr">
        <is>
          <t>渠道</t>
        </is>
      </c>
      <c r="E13" t="inlineStr">
        <is>
          <t>陈悦</t>
        </is>
      </c>
      <c r="F13" t="inlineStr">
        <is>
          <t>扩展坞</t>
        </is>
      </c>
      <c r="G13" t="inlineStr">
        <is>
          <t>数码配件</t>
        </is>
      </c>
      <c r="H13" s="6">
        <v>7</v>
      </c>
      <c r="I13" s="3">
        <v>360.0</v>
      </c>
      <c r="J13" s="4">
        <v>0.05</v>
      </c>
      <c r="K13" t="inlineStr">
        <is>
          <t>已完成</t>
        </is>
      </c>
      <c r="L13" t="inlineStr">
        <is>
          <t>有效</t>
        </is>
      </c>
      <c r="M13" t="inlineStr">
        <is>
          <t/>
        </is>
      </c>
      <c r="N13" s="3">
        <f>IF(L13="有效",ROUND(H13*I13*(1-J13),2),0)</f>
        <v>2394.0</v>
      </c>
    </row>
    <row r="14">
      <c r="A14" t="inlineStr">
        <is>
          <t>S013</t>
        </is>
      </c>
      <c r="B14" s="1">
        <v>46158</v>
      </c>
      <c r="C14" t="inlineStr">
        <is>
          <t>华南</t>
        </is>
      </c>
      <c r="D14" t="inlineStr">
        <is>
          <t>直营网</t>
        </is>
      </c>
      <c r="E14" t="inlineStr">
        <is>
          <t>周宁</t>
        </is>
      </c>
      <c r="F14" t="inlineStr">
        <is>
          <t>打印机</t>
        </is>
      </c>
      <c r="G14" t="inlineStr">
        <is>
          <t>数码设备</t>
        </is>
      </c>
      <c r="H14" s="6">
        <v>-2</v>
      </c>
      <c r="I14" s="3">
        <v>1250.0</v>
      </c>
      <c r="J14" s="4">
        <v>0.0</v>
      </c>
      <c r="K14" t="inlineStr">
        <is>
          <t>已完成</t>
        </is>
      </c>
      <c r="L14" t="inlineStr">
        <is>
          <t>异常</t>
        </is>
      </c>
      <c r="M14" t="inlineStr">
        <is>
          <t>数量无效</t>
        </is>
      </c>
      <c r="N14" s="3">
        <f>IF(L14="有效",ROUND(H14*I14*(1-J14),2),0)</f>
        <v>0.0</v>
      </c>
    </row>
    <row r="15">
      <c r="A15" t="inlineStr">
        <is>
          <t>S014</t>
        </is>
      </c>
      <c r="B15" s="1">
        <v>46163</v>
      </c>
      <c r="C15" t="inlineStr">
        <is>
          <t>华北</t>
        </is>
      </c>
      <c r="D15" t="inlineStr">
        <is>
          <t>电商</t>
        </is>
      </c>
      <c r="E15" t="inlineStr">
        <is>
          <t>林晨</t>
        </is>
      </c>
      <c r="F15" t="inlineStr">
        <is>
          <t>护眼台灯</t>
        </is>
      </c>
      <c r="G15" t="inlineStr">
        <is>
          <t>办公配件</t>
        </is>
      </c>
      <c r="H15" s="6">
        <v>9</v>
      </c>
      <c r="I15" s="3">
        <v>210.0</v>
      </c>
      <c r="J15" s="4">
        <v>0.1</v>
      </c>
      <c r="K15" t="inlineStr">
        <is>
          <t>已完成</t>
        </is>
      </c>
      <c r="L15" t="inlineStr">
        <is>
          <t>有效</t>
        </is>
      </c>
      <c r="M15" t="inlineStr">
        <is>
          <t/>
        </is>
      </c>
      <c r="N15" s="3">
        <f>IF(L15="有效",ROUND(H15*I15*(1-J15),2),0)</f>
        <v>1701.0</v>
      </c>
    </row>
    <row r="16">
      <c r="A16" t="inlineStr">
        <is>
          <t>S015</t>
        </is>
      </c>
      <c r="B16" s="1">
        <v>46167</v>
      </c>
      <c r="C16" t="inlineStr">
        <is>
          <t>西部</t>
        </is>
      </c>
      <c r="D16" t="inlineStr">
        <is>
          <t>直营网</t>
        </is>
      </c>
      <c r="E16" t="inlineStr">
        <is>
          <t>方岚</t>
        </is>
      </c>
      <c r="F16" t="inlineStr">
        <is>
          <t>机械键盘</t>
        </is>
      </c>
      <c r="G16" t="inlineStr">
        <is>
          <t>数码配件</t>
        </is>
      </c>
      <c r="H16" s="6">
        <v>2</v>
      </c>
      <c r="I16" s="3">
        <v>420.0</v>
      </c>
      <c r="J16" s="4">
        <v>0.45</v>
      </c>
      <c r="K16" t="inlineStr">
        <is>
          <t>已完成</t>
        </is>
      </c>
      <c r="L16" t="inlineStr">
        <is>
          <t>异常</t>
        </is>
      </c>
      <c r="M16" t="inlineStr">
        <is>
          <t>折扣率无效</t>
        </is>
      </c>
      <c r="N16" s="3">
        <f>IF(L16="有效",ROUND(H16*I16*(1-J16),2),0)</f>
        <v>0.0</v>
      </c>
    </row>
    <row r="17">
      <c r="A17" t="inlineStr">
        <is>
          <t>S016</t>
        </is>
      </c>
      <c r="B17" s="1">
        <v>46175</v>
      </c>
      <c r="C17" t="inlineStr">
        <is>
          <t>华南</t>
        </is>
      </c>
      <c r="D17" t="inlineStr">
        <is>
          <t>渠道</t>
        </is>
      </c>
      <c r="E17" t="inlineStr">
        <is>
          <t>周宁</t>
        </is>
      </c>
      <c r="F17" t="inlineStr">
        <is>
          <t>打印机</t>
        </is>
      </c>
      <c r="G17" t="inlineStr">
        <is>
          <t>数码设备</t>
        </is>
      </c>
      <c r="H17" s="6">
        <v>3</v>
      </c>
      <c r="I17" s="3">
        <v>1250.0</v>
      </c>
      <c r="J17" s="4">
        <v>0.05</v>
      </c>
      <c r="K17" t="inlineStr">
        <is>
          <t>已完成</t>
        </is>
      </c>
      <c r="L17" t="inlineStr">
        <is>
          <t>有效</t>
        </is>
      </c>
      <c r="M17" t="inlineStr">
        <is>
          <t/>
        </is>
      </c>
      <c r="N17" s="3">
        <f>IF(L17="有效",ROUND(H17*I17*(1-J17),2),0)</f>
        <v>3562.5</v>
      </c>
    </row>
    <row r="18">
      <c r="A18" t="inlineStr">
        <is>
          <t>S017</t>
        </is>
      </c>
      <c r="B18" s="1">
        <v>46180</v>
      </c>
      <c r="C18" t="inlineStr">
        <is>
          <t>华东</t>
        </is>
      </c>
      <c r="D18" t="inlineStr">
        <is>
          <t>电商</t>
        </is>
      </c>
      <c r="E18" t="inlineStr">
        <is>
          <t>陈悦</t>
        </is>
      </c>
      <c r="F18" t="inlineStr">
        <is>
          <t>升降支架</t>
        </is>
      </c>
      <c r="G18" t="inlineStr">
        <is>
          <t>办公配件</t>
        </is>
      </c>
      <c r="H18" s="6">
        <v>4</v>
      </c>
      <c r="I18" s="3">
        <v>180.0</v>
      </c>
      <c r="J18" s="4">
        <v>0.0</v>
      </c>
      <c r="K18" t="inlineStr">
        <is>
          <t>已取消</t>
        </is>
      </c>
      <c r="L18" t="inlineStr">
        <is>
          <t>异常</t>
        </is>
      </c>
      <c r="M18" t="inlineStr">
        <is>
          <t>状态非已完成</t>
        </is>
      </c>
      <c r="N18" s="3">
        <f>IF(L18="有效",ROUND(H18*I18*(1-J18),2),0)</f>
        <v>0.0</v>
      </c>
    </row>
    <row r="19">
      <c r="A19" t="inlineStr">
        <is>
          <t>S018</t>
        </is>
      </c>
      <c r="B19" s="1">
        <v>46184</v>
      </c>
      <c r="C19" t="inlineStr">
        <is>
          <t>西部</t>
        </is>
      </c>
      <c r="D19" t="inlineStr">
        <is>
          <t>直营网</t>
        </is>
      </c>
      <c r="E19" t="inlineStr">
        <is>
          <t>方岚</t>
        </is>
      </c>
      <c r="F19" t="inlineStr">
        <is>
          <t>护眼台灯</t>
        </is>
      </c>
      <c r="G19" t="inlineStr">
        <is>
          <t>办公配件</t>
        </is>
      </c>
      <c r="H19" s="6">
        <v>12</v>
      </c>
      <c r="I19" s="3">
        <v>210.0</v>
      </c>
      <c r="J19" s="4">
        <v>0.08</v>
      </c>
      <c r="K19" t="inlineStr">
        <is>
          <t>已完成</t>
        </is>
      </c>
      <c r="L19" t="inlineStr">
        <is>
          <t>有效</t>
        </is>
      </c>
      <c r="M19" t="inlineStr">
        <is>
          <t/>
        </is>
      </c>
      <c r="N19" s="3">
        <f>IF(L19="有效",ROUND(H19*I19*(1-J19),2),0)</f>
        <v>2318.4</v>
      </c>
    </row>
    <row r="20">
      <c r="A20" t="inlineStr">
        <is>
          <t>S019</t>
        </is>
      </c>
      <c r="B20" s="1">
        <v>46190</v>
      </c>
      <c r="C20" t="inlineStr">
        <is>
          <t>华北</t>
        </is>
      </c>
      <c r="D20" t="inlineStr">
        <is>
          <t>渠道</t>
        </is>
      </c>
      <c r="E20" t="inlineStr">
        <is>
          <t>林晨</t>
        </is>
      </c>
      <c r="F20" t="inlineStr">
        <is>
          <t>会议摄像头</t>
        </is>
      </c>
      <c r="G20" t="inlineStr">
        <is>
          <t>数码设备</t>
        </is>
      </c>
      <c r="H20" s="6">
        <v>5</v>
      </c>
      <c r="I20" s="3">
        <v>680.0</v>
      </c>
      <c r="J20" s="4">
        <v>0.1</v>
      </c>
      <c r="K20" t="inlineStr">
        <is>
          <t>已完成</t>
        </is>
      </c>
      <c r="L20" t="inlineStr">
        <is>
          <t>有效</t>
        </is>
      </c>
      <c r="M20" t="inlineStr">
        <is>
          <t/>
        </is>
      </c>
      <c r="N20" s="3">
        <f>IF(L20="有效",ROUND(H20*I20*(1-J20),2),0)</f>
        <v>3060.0</v>
      </c>
    </row>
    <row r="21">
      <c r="A21" t="inlineStr">
        <is>
          <t>S020</t>
        </is>
      </c>
      <c r="B21" s="1">
        <v>46197</v>
      </c>
      <c r="C21" t="inlineStr">
        <is>
          <t>华东</t>
        </is>
      </c>
      <c r="D21" t="inlineStr">
        <is>
          <t>电商</t>
        </is>
      </c>
      <c r="E21" t="inlineStr">
        <is>
          <t>陈悦</t>
        </is>
      </c>
      <c r="F21" t="inlineStr">
        <is>
          <t>降噪耳机</t>
        </is>
      </c>
      <c r="G21" t="inlineStr">
        <is>
          <t>数码设备</t>
        </is>
      </c>
      <c r="H21" s="6">
        <v>4</v>
      </c>
      <c r="I21" s="3">
        <v>850.0</v>
      </c>
      <c r="J21" s="4">
        <v>0.12</v>
      </c>
      <c r="K21" t="inlineStr">
        <is>
          <t>已完成</t>
        </is>
      </c>
      <c r="L21" t="inlineStr">
        <is>
          <t>有效</t>
        </is>
      </c>
      <c r="M21" t="inlineStr">
        <is>
          <t/>
        </is>
      </c>
      <c r="N21" s="3">
        <f>IF(L21="有效",ROUND(H21*I21*(1-J21),2),0)</f>
        <v>2992.0</v>
      </c>
    </row>
  </sheetData>
  <autoFilter ref="A1:N2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6" customWidth="1"/>
  </cols>
  <sheetData>
    <row r="1">
      <c r="A1" t="inlineStr" s="2">
        <is>
          <t>区域</t>
        </is>
      </c>
      <c r="B1" t="inlineStr" s="2">
        <is>
          <t>有效订单数</t>
        </is>
      </c>
      <c r="C1" t="inlineStr" s="2">
        <is>
          <t>销售数量</t>
        </is>
      </c>
      <c r="D1" t="inlineStr" s="2">
        <is>
          <t>净销售额</t>
        </is>
      </c>
    </row>
    <row r="2">
      <c r="A2" t="inlineStr">
        <is>
          <t>华北</t>
        </is>
      </c>
      <c r="B2" s="6">
        <f>COUNTIFS('清洗明细'!$C$2:$C$21,A2,'清洗明细'!$L$2:$L$21,"有效")</f>
        <v>4</v>
      </c>
      <c r="C2" s="6">
        <f>SUMIFS('清洗明细'!$H$2:$H$21,'清洗明细'!$C$2:$C$21,A2,'清洗明细'!$L$2:$L$21,"有效")</f>
        <v>21</v>
      </c>
      <c r="D2" s="3">
        <f>SUMIFS('清洗明细'!$N$2:$N$21,'清洗明细'!$C$2:$C$21,A2,'清洗明细'!$L$2:$L$21,"有效")</f>
        <v>7695.0</v>
      </c>
    </row>
    <row r="3">
      <c r="A3" t="inlineStr">
        <is>
          <t>华东</t>
        </is>
      </c>
      <c r="B3" s="6">
        <f>COUNTIFS('清洗明细'!$C$2:$C$21,A3,'清洗明细'!$L$2:$L$21,"有效")</f>
        <v>4</v>
      </c>
      <c r="C3" s="6">
        <f>SUMIFS('清洗明细'!$H$2:$H$21,'清洗明细'!$C$2:$C$21,A3,'清洗明细'!$L$2:$L$21,"有效")</f>
        <v>29</v>
      </c>
      <c r="D3" s="3">
        <f>SUMIFS('清洗明细'!$N$2:$N$21,'清洗明细'!$C$2:$C$21,A3,'清洗明细'!$L$2:$L$21,"有效")</f>
        <v>7286.0</v>
      </c>
    </row>
    <row r="4">
      <c r="A4" t="inlineStr">
        <is>
          <t>华南</t>
        </is>
      </c>
      <c r="B4" s="6">
        <f>COUNTIFS('清洗明细'!$C$2:$C$21,A4,'清洗明细'!$L$2:$L$21,"有效")</f>
        <v>3</v>
      </c>
      <c r="C4" s="6">
        <f>SUMIFS('清洗明细'!$H$2:$H$21,'清洗明细'!$C$2:$C$21,A4,'清洗明细'!$L$2:$L$21,"有效")</f>
        <v>11</v>
      </c>
      <c r="D4" s="3">
        <f>SUMIFS('清洗明细'!$N$2:$N$21,'清洗明细'!$C$2:$C$21,A4,'清洗明细'!$L$2:$L$21,"有效")</f>
        <v>10994.5</v>
      </c>
    </row>
    <row r="5">
      <c r="A5" t="inlineStr">
        <is>
          <t>西部</t>
        </is>
      </c>
      <c r="B5" s="6">
        <f>COUNTIFS('清洗明细'!$C$2:$C$21,A5,'清洗明细'!$L$2:$L$21,"有效")</f>
        <v>3</v>
      </c>
      <c r="C5" s="6">
        <f>SUMIFS('清洗明细'!$H$2:$H$21,'清洗明细'!$C$2:$C$21,A5,'清洗明细'!$L$2:$L$21,"有效")</f>
        <v>19</v>
      </c>
      <c r="D5" s="3">
        <f>SUMIFS('清洗明细'!$N$2:$N$21,'清洗明细'!$C$2:$C$21,A5,'清洗明细'!$L$2:$L$21,"有效")</f>
        <v>7883.4</v>
      </c>
    </row>
    <row r="6">
      <c r="A6" t="inlineStr" s="2">
        <is>
          <t>合计</t>
        </is>
      </c>
      <c r="B6" s="6">
        <f>SUM(B2:B5)</f>
        <v>14</v>
      </c>
      <c r="C6" s="6">
        <f>SUM(C2:C5)</f>
        <v>80</v>
      </c>
      <c r="D6" s="3">
        <f>SUM(D2:D5)</f>
        <v>33858.9</v>
      </c>
    </row>
  </sheetData>
  <autoFilter ref="A1:D6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6" customWidth="1"/>
  </cols>
  <sheetData>
    <row r="1">
      <c r="A1" t="inlineStr" s="2">
        <is>
          <t>品类</t>
        </is>
      </c>
      <c r="B1" t="inlineStr" s="2">
        <is>
          <t>有效订单数</t>
        </is>
      </c>
      <c r="C1" t="inlineStr" s="2">
        <is>
          <t>销售数量</t>
        </is>
      </c>
      <c r="D1" t="inlineStr" s="2">
        <is>
          <t>净销售额</t>
        </is>
      </c>
    </row>
    <row r="2">
      <c r="A2" t="inlineStr">
        <is>
          <t>办公配件</t>
        </is>
      </c>
      <c r="B2" s="6">
        <f>COUNTIFS('清洗明细'!$G$2:$G$21,A2,'清洗明细'!$L$2:$L$21,"有效")</f>
        <v>5</v>
      </c>
      <c r="C2" s="6">
        <f>SUMIFS('清洗明细'!$H$2:$H$21,'清洗明细'!$G$2:$G$21,A2,'清洗明细'!$L$2:$L$21,"有效")</f>
        <v>34</v>
      </c>
      <c r="D2" s="3">
        <f>SUMIFS('清洗明细'!$N$2:$N$21,'清洗明细'!$G$2:$G$21,A2,'清洗明细'!$L$2:$L$21,"有效")</f>
        <v>9045.4</v>
      </c>
    </row>
    <row r="3">
      <c r="A3" t="inlineStr">
        <is>
          <t>数码配件</t>
        </is>
      </c>
      <c r="B3" s="6">
        <f>COUNTIFS('清洗明细'!$G$2:$G$21,A3,'清洗明细'!$L$2:$L$21,"有效")</f>
        <v>3</v>
      </c>
      <c r="C3" s="6">
        <f>SUMIFS('清洗明细'!$H$2:$H$21,'清洗明细'!$G$2:$G$21,A3,'清洗明细'!$L$2:$L$21,"有效")</f>
        <v>22</v>
      </c>
      <c r="D3" s="3">
        <f>SUMIFS('清洗明细'!$N$2:$N$21,'清洗明细'!$G$2:$G$21,A3,'清洗明细'!$L$2:$L$21,"有效")</f>
        <v>5319.0</v>
      </c>
    </row>
    <row r="4">
      <c r="A4" t="inlineStr">
        <is>
          <t>数码设备</t>
        </is>
      </c>
      <c r="B4" s="6">
        <f>COUNTIFS('清洗明细'!$G$2:$G$21,A4,'清洗明细'!$L$2:$L$21,"有效")</f>
        <v>6</v>
      </c>
      <c r="C4" s="6">
        <f>SUMIFS('清洗明细'!$H$2:$H$21,'清洗明细'!$G$2:$G$21,A4,'清洗明细'!$L$2:$L$21,"有效")</f>
        <v>24</v>
      </c>
      <c r="D4" s="3">
        <f>SUMIFS('清洗明细'!$N$2:$N$21,'清洗明细'!$G$2:$G$21,A4,'清洗明细'!$L$2:$L$21,"有效")</f>
        <v>19494.5</v>
      </c>
    </row>
    <row r="5">
      <c r="A5" t="inlineStr" s="2">
        <is>
          <t>合计</t>
        </is>
      </c>
      <c r="B5" s="6">
        <f>SUM(B2:B4)</f>
        <v>14</v>
      </c>
      <c r="C5" s="6">
        <f>SUM(C2:C4)</f>
        <v>80</v>
      </c>
      <c r="D5" s="3">
        <f>SUM(D2:D4)</f>
        <v>33858.9</v>
      </c>
    </row>
  </sheetData>
  <autoFilter ref="A1:D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xSplit="0" ySplit="1" topLeftCell="A2" activePane="bottomRight" state="frozen"/>
    </sheetView>
  </sheetViews>
  <sheetFormatPr defaultRowHeight="15"/>
  <cols>
    <col min="1" max="1" width="12" customWidth="1"/>
    <col min="2" max="2" width="14" customWidth="1"/>
    <col min="3" max="3" width="22" customWidth="1"/>
  </cols>
  <sheetData>
    <row r="1">
      <c r="A1" t="inlineStr" s="2">
        <is>
          <t>源行号</t>
        </is>
      </c>
      <c r="B1" t="inlineStr" s="2">
        <is>
          <t>订单号</t>
        </is>
      </c>
      <c r="C1" t="inlineStr" s="2">
        <is>
          <t>异常原因</t>
        </is>
      </c>
    </row>
    <row r="2">
      <c r="A2" s="6">
        <v>9</v>
      </c>
      <c r="B2" t="inlineStr">
        <is>
          <t>S008</t>
        </is>
      </c>
      <c r="C2" t="inlineStr">
        <is>
          <t>无效日期</t>
        </is>
      </c>
    </row>
    <row r="3">
      <c r="A3" s="6">
        <v>11</v>
      </c>
      <c r="B3" t="inlineStr">
        <is>
          <t>S006</t>
        </is>
      </c>
      <c r="C3" t="inlineStr">
        <is>
          <t>重复订单号</t>
        </is>
      </c>
    </row>
    <row r="4">
      <c r="A4" s="6">
        <v>12</v>
      </c>
      <c r="B4" t="inlineStr">
        <is>
          <t>S011</t>
        </is>
      </c>
      <c r="C4" t="inlineStr">
        <is>
          <t>销售人员缺失</t>
        </is>
      </c>
    </row>
    <row r="5">
      <c r="A5" s="6">
        <v>14</v>
      </c>
      <c r="B5" t="inlineStr">
        <is>
          <t>S013</t>
        </is>
      </c>
      <c r="C5" t="inlineStr">
        <is>
          <t>数量无效</t>
        </is>
      </c>
    </row>
    <row r="6">
      <c r="A6" s="6">
        <v>16</v>
      </c>
      <c r="B6" t="inlineStr">
        <is>
          <t>S015</t>
        </is>
      </c>
      <c r="C6" t="inlineStr">
        <is>
          <t>折扣率无效</t>
        </is>
      </c>
    </row>
    <row r="7">
      <c r="A7" s="6">
        <v>18</v>
      </c>
      <c r="B7" t="inlineStr">
        <is>
          <t>S017</t>
        </is>
      </c>
      <c r="C7" t="inlineStr">
        <is>
          <t>状态非已完成</t>
        </is>
      </c>
    </row>
  </sheetData>
  <autoFilter ref="A1:C7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8" customWidth="1"/>
    <col min="2" max="2" width="18" customWidth="1"/>
  </cols>
  <sheetData>
    <row r="1">
      <c r="A1" t="inlineStr" s="5">
        <is>
          <t>2026 年第二季度销售仪表盘</t>
        </is>
      </c>
    </row>
    <row r="2">
      <c r="A2" t="inlineStr" s="2">
        <is>
          <t>指标</t>
        </is>
      </c>
      <c r="B2" t="inlineStr" s="2">
        <is>
          <t>数值</t>
        </is>
      </c>
    </row>
    <row r="3">
      <c r="A3" t="inlineStr" s="7">
        <is>
          <t>有效订单数</t>
        </is>
      </c>
      <c r="B3" s="6">
        <f>'区域汇总'!B6</f>
        <v>14</v>
      </c>
    </row>
    <row r="4">
      <c r="A4" t="inlineStr" s="7">
        <is>
          <t>销售数量</t>
        </is>
      </c>
      <c r="B4" s="6">
        <f>'区域汇总'!C6</f>
        <v>80</v>
      </c>
    </row>
    <row r="5">
      <c r="A5" t="inlineStr" s="7">
        <is>
          <t>净销售额</t>
        </is>
      </c>
      <c r="B5" s="3">
        <f>'区域汇总'!D6</f>
        <v>33858.9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SFT Spreadsheet Writer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清洗明细</vt:lpstr>
      <vt:lpstr>区域汇总</vt:lpstr>
      <vt:lpstr>品类汇总</vt:lpstr>
      <vt:lpstr>异常清单</vt:lpstr>
      <vt:lpstr>仪表盘</vt:lpstr>
    </vt:vector>
  </TitlesOfParts>
  <Company>Agent SFT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Agent SFT Spreadsheet Writer</dc:creator>
  <cp:lastModifiedBy>Agent SFT Spreadsheet Writer</cp:lastModifiedBy>
  <dcterms:created xsi:type="dcterms:W3CDTF">2026-07-01T00:00:00Z</dcterms:created>
  <dcterms:modified xsi:type="dcterms:W3CDTF">2026-07-01T00:00:00Z</dcterms:modified>
</cp:coreProperties>
</file>